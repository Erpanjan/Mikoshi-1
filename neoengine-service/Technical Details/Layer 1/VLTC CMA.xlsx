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4"/>
  <workbookPr defaultThemeVersion="166925"/>
  <mc:AlternateContent xmlns:mc="http://schemas.openxmlformats.org/markup-compatibility/2006">
    <mc:Choice Requires="x15">
      <x15ac:absPath xmlns:x15ac="http://schemas.microsoft.com/office/spreadsheetml/2010/11/ac" url="/Users/erpanjianyasen/Desktop/Active risk budgeting/Technical Details/Layer 1/"/>
    </mc:Choice>
  </mc:AlternateContent>
  <xr:revisionPtr revIDLastSave="0" documentId="13_ncr:1_{99CCBB3D-7581-4B4F-92EA-9B08AC0593B3}" xr6:coauthVersionLast="47" xr6:coauthVersionMax="47" xr10:uidLastSave="{00000000-0000-0000-0000-000000000000}"/>
  <bookViews>
    <workbookView xWindow="0" yWindow="0" windowWidth="38400" windowHeight="21600" xr2:uid="{C4C48AD9-E6BA-B24E-B625-3BB7A8BA3FB9}"/>
  </bookViews>
  <sheets>
    <sheet name="Asset Class Selection" sheetId="1" r:id="rId1"/>
    <sheet name="Asset Cluster Mapping" sheetId="11" r:id="rId2"/>
    <sheet name="Eq Weight" sheetId="12" r:id="rId3"/>
    <sheet name="Naive Benchmark" sheetId="3" r:id="rId4"/>
    <sheet name="Expected R&amp;R" sheetId="5" r:id="rId5"/>
    <sheet name="Expected Corr Matrix"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Microsoft Office User</author>
  </authors>
  <commentList>
    <comment ref="H2" authorId="0" shapeId="0" xr:uid="{5B5C5E03-7719-6F46-9B46-B13983DF8360}">
      <text>
        <r>
          <rPr>
            <b/>
            <sz val="10"/>
            <color rgb="FF000000"/>
            <rFont val="Tahoma"/>
            <family val="2"/>
          </rPr>
          <t>Author:</t>
        </r>
        <r>
          <rPr>
            <sz val="10"/>
            <color rgb="FF000000"/>
            <rFont val="Tahoma"/>
            <family val="2"/>
          </rPr>
          <t xml:space="preserve">
</t>
        </r>
        <r>
          <rPr>
            <sz val="10"/>
            <color rgb="FF000000"/>
            <rFont val="Tahoma"/>
            <family val="2"/>
          </rPr>
          <t>https://www.voronoiapp.com/money/-Global-Broad-Money-Supply-Hits-1293-Trillion-in-Q2-2024-2441</t>
        </r>
      </text>
    </comment>
    <comment ref="H3" authorId="0" shapeId="0" xr:uid="{46D77E4C-85CD-144A-80DE-24801EDAD888}">
      <text>
        <r>
          <rPr>
            <b/>
            <sz val="10"/>
            <color rgb="FF000000"/>
            <rFont val="Tahoma"/>
            <family val="2"/>
          </rPr>
          <t>Author:</t>
        </r>
        <r>
          <rPr>
            <sz val="10"/>
            <color rgb="FF000000"/>
            <rFont val="Tahoma"/>
            <family val="2"/>
          </rPr>
          <t xml:space="preserve">
</t>
        </r>
        <r>
          <rPr>
            <sz val="10"/>
            <color rgb="FF000000"/>
            <rFont val="Tahoma"/>
            <family val="2"/>
          </rPr>
          <t>https://www.ishares.com/us/insights/debt-deficit-investing#:~:text=,traded%20in%20the%20secondary%20market</t>
        </r>
      </text>
    </comment>
    <comment ref="A12" authorId="1" shapeId="0" xr:uid="{904760C5-F4AE-5544-A1C0-781B175EB422}">
      <text>
        <r>
          <rPr>
            <b/>
            <sz val="10"/>
            <color rgb="FF000000"/>
            <rFont val="Tahoma"/>
            <family val="2"/>
          </rPr>
          <t>Microsoft Office User:</t>
        </r>
        <r>
          <rPr>
            <sz val="10"/>
            <color rgb="FF000000"/>
            <rFont val="Tahoma"/>
            <family val="2"/>
          </rPr>
          <t xml:space="preserve">
</t>
        </r>
        <r>
          <rPr>
            <sz val="10"/>
            <color rgb="FF000000"/>
            <rFont val="Tahoma"/>
            <family val="2"/>
          </rPr>
          <t>1) Alternatives encompass all asset classes that do not fall under traditional categories such as equity, fixed income, and liquidity. Therefore, cryptocurrency is grouped within alternatives for the purposes of this analysis.</t>
        </r>
      </text>
    </comment>
    <comment ref="H12" authorId="1" shapeId="0" xr:uid="{9C6C61F8-6E59-C543-BE77-D25627049E4B}">
      <text>
        <r>
          <rPr>
            <b/>
            <sz val="10"/>
            <color rgb="FF000000"/>
            <rFont val="Tahoma"/>
            <family val="2"/>
          </rPr>
          <t>Microsoft Office User:</t>
        </r>
        <r>
          <rPr>
            <sz val="10"/>
            <color rgb="FF000000"/>
            <rFont val="Tahoma"/>
            <family val="2"/>
          </rPr>
          <t xml:space="preserve">
</t>
        </r>
        <r>
          <rPr>
            <sz val="10"/>
            <color rgb="FF000000"/>
            <rFont val="Tahoma"/>
            <family val="2"/>
          </rPr>
          <t xml:space="preserve">Assumption
</t>
        </r>
      </text>
    </comment>
    <comment ref="H13" authorId="0" shapeId="0" xr:uid="{B3E47824-CD85-FD49-8497-257F74E42E03}">
      <text>
        <r>
          <rPr>
            <sz val="10"/>
            <color rgb="FF000000"/>
            <rFont val="Calibri"/>
            <family val="2"/>
          </rPr>
          <t xml:space="preserve">Author:
</t>
        </r>
        <r>
          <rPr>
            <sz val="10"/>
            <color rgb="FF000000"/>
            <rFont val="Calibri"/>
            <family val="2"/>
          </rPr>
          <t>Slashed</t>
        </r>
        <r>
          <rPr>
            <sz val="10"/>
            <color rgb="FF000000"/>
            <rFont val="Calibri"/>
            <family val="2"/>
          </rPr>
          <t xml:space="preserve"> </t>
        </r>
        <r>
          <rPr>
            <sz val="10"/>
            <color rgb="FF000000"/>
            <rFont val="Calibri"/>
            <family val="2"/>
          </rPr>
          <t>down the market cap to make the combined weight of alternative equals to roughly 8 percent of the entire market portfolio</t>
        </r>
      </text>
    </comment>
    <comment ref="H14" authorId="0" shapeId="0" xr:uid="{696C4F8B-D747-0B49-8138-D0234EA50B1F}">
      <text>
        <r>
          <rPr>
            <b/>
            <sz val="10"/>
            <color rgb="FF000000"/>
            <rFont val="Tahoma"/>
            <family val="2"/>
          </rPr>
          <t>Author:</t>
        </r>
        <r>
          <rPr>
            <sz val="10"/>
            <color rgb="FF000000"/>
            <rFont val="Tahoma"/>
            <family val="2"/>
          </rPr>
          <t xml:space="preserve">
</t>
        </r>
        <r>
          <rPr>
            <sz val="10"/>
            <color rgb="FF000000"/>
            <rFont val="Calibri"/>
            <family val="2"/>
            <scheme val="minor"/>
          </rPr>
          <t>Slashed</t>
        </r>
        <r>
          <rPr>
            <sz val="10"/>
            <color rgb="FF000000"/>
            <rFont val="Calibri"/>
            <family val="2"/>
            <scheme val="minor"/>
          </rPr>
          <t xml:space="preserve"> </t>
        </r>
        <r>
          <rPr>
            <sz val="10"/>
            <color rgb="FF000000"/>
            <rFont val="Calibri"/>
            <family val="2"/>
            <scheme val="minor"/>
          </rPr>
          <t>down the market cap to make the combined weight of alternative equals to roughly 8 percent of the entire market portfolio</t>
        </r>
      </text>
    </comment>
    <comment ref="H15" authorId="0" shapeId="0" xr:uid="{B315EEBD-FCBC-EA47-9FF1-C415421C4C92}">
      <text>
        <r>
          <rPr>
            <b/>
            <sz val="10"/>
            <color rgb="FF000000"/>
            <rFont val="Tahoma"/>
            <family val="2"/>
          </rPr>
          <t>Author:</t>
        </r>
        <r>
          <rPr>
            <sz val="10"/>
            <color rgb="FF000000"/>
            <rFont val="Tahoma"/>
            <family val="2"/>
          </rPr>
          <t xml:space="preserve">
</t>
        </r>
        <r>
          <rPr>
            <sz val="10"/>
            <color rgb="FF000000"/>
            <rFont val="Tahoma"/>
            <family val="2"/>
          </rPr>
          <t>https://www.reuters.com/business/finance/hedge-fund-industry-reaches-45-trillion-2024-2025-01-24/</t>
        </r>
      </text>
    </comment>
  </commentList>
</comments>
</file>

<file path=xl/sharedStrings.xml><?xml version="1.0" encoding="utf-8"?>
<sst xmlns="http://schemas.openxmlformats.org/spreadsheetml/2006/main" count="207" uniqueCount="79">
  <si>
    <t>Index</t>
  </si>
  <si>
    <t>Currency</t>
    <phoneticPr fontId="0" type="noConversion"/>
  </si>
  <si>
    <t>Bloomberg Ticker</t>
    <phoneticPr fontId="0" type="noConversion"/>
  </si>
  <si>
    <t>Inception Date</t>
  </si>
  <si>
    <t>Fixed Income</t>
  </si>
  <si>
    <t>Global Investment Grade Corporate Bond</t>
  </si>
  <si>
    <t>Global High Yield Bond BB-B</t>
  </si>
  <si>
    <t>Emerging Market Local Currency Government Bonds</t>
  </si>
  <si>
    <t>Commodities</t>
  </si>
  <si>
    <t xml:space="preserve">Bitcoin </t>
  </si>
  <si>
    <t>Cash</t>
  </si>
  <si>
    <t>Asset Class I</t>
  </si>
  <si>
    <t>Asset Class II</t>
  </si>
  <si>
    <t>EM Equity</t>
  </si>
  <si>
    <t>DM Equity</t>
  </si>
  <si>
    <t>Defensive Fixed Income</t>
  </si>
  <si>
    <t>Risky Fixed Income</t>
  </si>
  <si>
    <t>Asset Class III</t>
  </si>
  <si>
    <t>Bloomberg Global Aggregate Total Return Index Value Unhedged USD</t>
  </si>
  <si>
    <t>Bloomberg Global High Yield Corporate Total Return Index Value Unhedged USD</t>
  </si>
  <si>
    <t>Bloomberg Commodity TR Index</t>
  </si>
  <si>
    <t>Bloomberg Bitcoin Index</t>
  </si>
  <si>
    <t>S&amp;P U.S. Treasury Bill 0-3 Month Index Total Return</t>
  </si>
  <si>
    <t xml:space="preserve">Expected Return </t>
  </si>
  <si>
    <t>Expected Volatility</t>
  </si>
  <si>
    <t xml:space="preserve">Market Capitilization (trillion, USD) </t>
  </si>
  <si>
    <t>Market Weight</t>
  </si>
  <si>
    <t>USD</t>
  </si>
  <si>
    <t>Equity</t>
  </si>
  <si>
    <t>Emerging Market Hard Currency Debt</t>
  </si>
  <si>
    <t>Asset Class Name</t>
  </si>
  <si>
    <t>Cluster Mapping</t>
  </si>
  <si>
    <t>US Equity</t>
  </si>
  <si>
    <t>MSCI USA Net Total Return USD Index</t>
  </si>
  <si>
    <t>NDDUUS Index</t>
  </si>
  <si>
    <t>Dev. Europe ex UK Equity</t>
  </si>
  <si>
    <t>MSCI Europe ex Net Total Return USD Index</t>
  </si>
  <si>
    <t>NDDUE15X Index</t>
  </si>
  <si>
    <t>Japan Equity</t>
  </si>
  <si>
    <t>MSCI Japan Net Total Return USD Index</t>
  </si>
  <si>
    <t>NDDUJN Index</t>
  </si>
  <si>
    <t>China Equity</t>
  </si>
  <si>
    <t>MSCI China Net Total Return USD Index</t>
  </si>
  <si>
    <t>NDEUCHF Index</t>
  </si>
  <si>
    <t>India Equity</t>
  </si>
  <si>
    <t>MSCI India Net Total Return USD Index</t>
  </si>
  <si>
    <t>M1IN Index</t>
  </si>
  <si>
    <t xml:space="preserve">US Treasury </t>
  </si>
  <si>
    <t>Bloomberg US Treasury Total Return Unhedged USD</t>
  </si>
  <si>
    <t>LUATTRUU Index</t>
  </si>
  <si>
    <t>LEGATRUU Index</t>
  </si>
  <si>
    <t>LG50TRUU Index</t>
  </si>
  <si>
    <t>BCOMTR Index</t>
  </si>
  <si>
    <t>Gold</t>
  </si>
  <si>
    <t>GOLDS Comdty</t>
  </si>
  <si>
    <t>Hedge Funds</t>
  </si>
  <si>
    <t>SECTAH Index</t>
  </si>
  <si>
    <t>BITCOIN Index</t>
  </si>
  <si>
    <t>SPBDUB3T Index</t>
  </si>
  <si>
    <t>RP1</t>
  </si>
  <si>
    <t>Lquidity</t>
  </si>
  <si>
    <t>Alternatives</t>
  </si>
  <si>
    <t>Bloomberg Emerging Markets Local Currency Government TR Index  Unhedged USD</t>
  </si>
  <si>
    <t>Bloomberg Emerging Markets Hard Currency Aggregate Index Value Unhedged USD</t>
  </si>
  <si>
    <t>Spot Gold</t>
  </si>
  <si>
    <t>Credit Suisse AllHedge Index</t>
  </si>
  <si>
    <t>I20344US Index</t>
  </si>
  <si>
    <t>LG20TRUU Index</t>
  </si>
  <si>
    <t>1989/12/29</t>
  </si>
  <si>
    <t>1973/1/31</t>
  </si>
  <si>
    <t>1990/1/1</t>
  </si>
  <si>
    <t>2000/12/29</t>
  </si>
  <si>
    <t>2008/6/30</t>
  </si>
  <si>
    <t>2001/8/10</t>
  </si>
  <si>
    <t>1969/12/31</t>
  </si>
  <si>
    <t>1998/12/31</t>
  </si>
  <si>
    <t>2004/9/30</t>
  </si>
  <si>
    <t>2010/7/19</t>
  </si>
  <si>
    <t>Liquidity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</si>
</sst>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0.0%"/>
  </numFmts>
  <fonts count="12">
    <font>
      <sz val="12"/>
      <color theme="1"/>
      <name val="Calibri"/>
      <family val="2"/>
      <scheme val="minor"/>
    </font>
    <font>
      <sz val="11"/>
      <color theme="1"/>
      <name val="Arial"/>
      <family val="2"/>
    </font>
    <font>
      <b/>
      <sz val="11"/>
      <color theme="1"/>
      <name val="Arial"/>
      <family val="2"/>
    </font>
    <font>
      <b/>
      <sz val="10"/>
      <color rgb="FF000000"/>
      <name val="Tahoma"/>
      <family val="2"/>
    </font>
    <font>
      <sz val="10"/>
      <color rgb="FF000000"/>
      <name val="Tahoma"/>
      <family val="2"/>
    </font>
    <font>
      <sz val="12"/>
      <color theme="1"/>
      <name val="Arial"/>
      <family val="2"/>
    </font>
    <font>
      <sz val="9"/>
      <color theme="1"/>
      <name val="Arial"/>
      <family val="2"/>
    </font>
    <font>
      <sz val="12"/>
      <color theme="1"/>
      <name val="Calibri"/>
      <family val="2"/>
      <scheme val="minor"/>
    </font>
    <font>
      <sz val="10"/>
      <color theme="1"/>
      <name val="Arial"/>
      <family val="2"/>
    </font>
    <font>
      <sz val="10"/>
      <color theme="1"/>
      <name val="Inter Regular"/>
    </font>
    <font>
      <sz val="10"/>
      <color rgb="FF000000"/>
      <name val="Calibri"/>
      <family val="2"/>
    </font>
    <font>
      <sz val="10"/>
      <color rgb="FF000000"/>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9">
    <xf numFmtId="0" fontId="0" fillId="0" borderId="0"/>
    <xf numFmtId="9" fontId="7" fillId="0" borderId="0" applyFont="0" applyFill="0" applyBorder="0" applyAlignment="0" applyProtection="0"/>
    <xf numFmtId="0" fontId="8" fillId="0" borderId="0"/>
    <xf numFmtId="0" fontId="8" fillId="0" borderId="0"/>
    <xf numFmtId="164" fontId="8" fillId="0" borderId="0" applyFont="0" applyFill="0" applyBorder="0" applyAlignment="0" applyProtection="0"/>
    <xf numFmtId="0" fontId="8" fillId="0" borderId="0"/>
    <xf numFmtId="0" fontId="8" fillId="0" borderId="0"/>
    <xf numFmtId="164" fontId="8" fillId="0" borderId="0" applyFont="0" applyFill="0" applyBorder="0" applyAlignment="0" applyProtection="0"/>
    <xf numFmtId="0" fontId="8" fillId="0" borderId="0"/>
  </cellStyleXfs>
  <cellXfs count="19">
    <xf numFmtId="0" fontId="0" fillId="0" borderId="0" xfId="0"/>
    <xf numFmtId="0" fontId="5" fillId="0" borderId="0" xfId="0" applyFont="1" applyAlignment="1">
      <alignment wrapText="1"/>
    </xf>
    <xf numFmtId="0" fontId="2" fillId="0" borderId="1" xfId="0" applyFont="1" applyBorder="1" applyAlignment="1">
      <alignment horizontal="right" vertical="top" wrapText="1"/>
    </xf>
    <xf numFmtId="9" fontId="5" fillId="0" borderId="1" xfId="1" applyFont="1" applyBorder="1" applyAlignment="1">
      <alignment horizontal="right" wrapText="1"/>
    </xf>
    <xf numFmtId="9" fontId="5" fillId="0" borderId="0" xfId="0" applyNumberFormat="1" applyFont="1" applyAlignment="1">
      <alignment wrapText="1"/>
    </xf>
    <xf numFmtId="0" fontId="6" fillId="0" borderId="1" xfId="0" applyFont="1" applyBorder="1" applyAlignment="1">
      <alignment horizontal="left" vertical="top"/>
    </xf>
    <xf numFmtId="14" fontId="6" fillId="0" borderId="1" xfId="0" applyNumberFormat="1" applyFont="1" applyBorder="1" applyAlignment="1">
      <alignment horizontal="left" vertical="top"/>
    </xf>
    <xf numFmtId="9" fontId="6" fillId="0" borderId="1" xfId="1" applyFont="1" applyBorder="1" applyAlignment="1">
      <alignment horizontal="left" vertical="top"/>
    </xf>
    <xf numFmtId="2" fontId="0" fillId="0" borderId="0" xfId="1" applyNumberFormat="1" applyFont="1"/>
    <xf numFmtId="0" fontId="6" fillId="0" borderId="1" xfId="0" applyFont="1" applyBorder="1" applyAlignment="1">
      <alignment horizontal="center" vertical="center"/>
    </xf>
    <xf numFmtId="14" fontId="2" fillId="0" borderId="1" xfId="0" applyNumberFormat="1" applyFont="1" applyBorder="1" applyAlignment="1">
      <alignment horizontal="center" vertical="center" wrapText="1"/>
    </xf>
    <xf numFmtId="2" fontId="6" fillId="0" borderId="1" xfId="0" applyNumberFormat="1" applyFont="1" applyBorder="1" applyAlignment="1">
      <alignment horizontal="center" vertical="center"/>
    </xf>
    <xf numFmtId="2" fontId="9" fillId="2" borderId="1" xfId="7" applyNumberFormat="1" applyFont="1" applyFill="1" applyBorder="1" applyAlignment="1">
      <alignment horizontal="center" vertical="center"/>
    </xf>
    <xf numFmtId="2" fontId="9" fillId="2" borderId="1" xfId="8" applyNumberFormat="1" applyFont="1" applyFill="1" applyBorder="1" applyAlignment="1">
      <alignment horizontal="center" vertical="center"/>
    </xf>
    <xf numFmtId="2" fontId="9" fillId="2" borderId="1" xfId="0" applyNumberFormat="1" applyFont="1" applyFill="1" applyBorder="1" applyAlignment="1">
      <alignment horizontal="center" vertical="center"/>
    </xf>
    <xf numFmtId="0" fontId="6" fillId="0" borderId="1" xfId="0" applyFont="1" applyBorder="1" applyAlignment="1">
      <alignment horizontal="center"/>
    </xf>
    <xf numFmtId="165" fontId="5" fillId="0" borderId="0" xfId="1" applyNumberFormat="1" applyFont="1" applyAlignment="1">
      <alignment wrapText="1"/>
    </xf>
    <xf numFmtId="165" fontId="5" fillId="0" borderId="0" xfId="0" applyNumberFormat="1" applyFont="1" applyAlignment="1">
      <alignment wrapText="1"/>
    </xf>
    <xf numFmtId="0" fontId="1" fillId="0" borderId="0" xfId="0" applyFont="1" applyBorder="1" applyAlignment="1">
      <alignment horizontal="center" vertical="top" wrapText="1"/>
    </xf>
  </cellXfs>
  <cellStyles count="9">
    <cellStyle name="Comma 94" xfId="4" xr:uid="{E93F88FC-24C2-534F-B924-B83207ED2BA0}"/>
    <cellStyle name="Comma 94 2" xfId="7" xr:uid="{6A2FFDEE-E653-4444-941B-BD92CA87D4E7}"/>
    <cellStyle name="Normal" xfId="0" builtinId="0"/>
    <cellStyle name="Normal 3 10 2" xfId="2" xr:uid="{1207BA00-492B-C246-8272-85DA7F94669B}"/>
    <cellStyle name="Normal 3 10 2 2" xfId="6" xr:uid="{E52F4855-D123-5540-A920-4199775A5AD5}"/>
    <cellStyle name="Normal 3 15 2" xfId="5" xr:uid="{EA1C3A0A-7DCE-AC40-AC27-D5D10D01D823}"/>
    <cellStyle name="Normal 333" xfId="3" xr:uid="{AA9B6C95-B409-D94E-A8A9-7BC1D9BC31A4}"/>
    <cellStyle name="Normal 333 2" xfId="8" xr:uid="{8F52788F-B4E7-4E4C-9906-570EDE9340C4}"/>
    <cellStyle name="Percent" xfId="1" builtinId="5"/>
  </cellStyles>
  <dxfs count="4">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2E803-CE93-6F40-9848-558224BB96B1}">
  <dimension ref="A1:J18"/>
  <sheetViews>
    <sheetView showGridLines="0" tabSelected="1" topLeftCell="D1" zoomScale="160" workbookViewId="0">
      <selection activeCell="D21" sqref="D21"/>
    </sheetView>
  </sheetViews>
  <sheetFormatPr baseColWidth="10" defaultColWidth="19.5" defaultRowHeight="16"/>
  <cols>
    <col min="1" max="1" width="19.5" style="1"/>
    <col min="2" max="2" width="23.83203125" style="1" customWidth="1"/>
    <col min="3" max="3" width="36.83203125" style="1" customWidth="1"/>
    <col min="4" max="4" width="64.6640625" style="1" customWidth="1"/>
    <col min="5" max="16384" width="19.5" style="1"/>
  </cols>
  <sheetData>
    <row r="1" spans="1:10">
      <c r="A1" s="5" t="s">
        <v>11</v>
      </c>
      <c r="B1" s="5" t="s">
        <v>12</v>
      </c>
      <c r="C1" s="5" t="s">
        <v>17</v>
      </c>
      <c r="D1" s="5" t="s">
        <v>0</v>
      </c>
      <c r="E1" s="5" t="s">
        <v>1</v>
      </c>
      <c r="F1" s="5" t="s">
        <v>2</v>
      </c>
      <c r="G1" s="5" t="s">
        <v>3</v>
      </c>
      <c r="H1" s="5" t="s">
        <v>25</v>
      </c>
      <c r="I1" s="5" t="s">
        <v>26</v>
      </c>
    </row>
    <row r="2" spans="1:10">
      <c r="A2" s="5" t="s">
        <v>60</v>
      </c>
      <c r="B2" s="5" t="s">
        <v>78</v>
      </c>
      <c r="C2" s="5" t="s">
        <v>10</v>
      </c>
      <c r="D2" s="5" t="s">
        <v>22</v>
      </c>
      <c r="E2" s="5" t="s">
        <v>27</v>
      </c>
      <c r="F2" s="5" t="s">
        <v>58</v>
      </c>
      <c r="G2" s="6" t="s">
        <v>68</v>
      </c>
      <c r="H2" s="5">
        <v>129</v>
      </c>
      <c r="I2" s="7">
        <f>H2/SUM($H$2:$H$16)</f>
        <v>0.37629041622473552</v>
      </c>
      <c r="J2" s="16"/>
    </row>
    <row r="3" spans="1:10">
      <c r="A3" s="5" t="s">
        <v>4</v>
      </c>
      <c r="B3" s="5" t="s">
        <v>15</v>
      </c>
      <c r="C3" s="5" t="s">
        <v>47</v>
      </c>
      <c r="D3" s="5" t="s">
        <v>48</v>
      </c>
      <c r="E3" s="5" t="s">
        <v>27</v>
      </c>
      <c r="F3" s="5" t="s">
        <v>49</v>
      </c>
      <c r="G3" s="6" t="s">
        <v>69</v>
      </c>
      <c r="H3" s="5">
        <v>36</v>
      </c>
      <c r="I3" s="7">
        <f t="shared" ref="I3:I16" si="0">H3/SUM($H$2:$H$16)</f>
        <v>0.10501127894643782</v>
      </c>
      <c r="J3" s="16"/>
    </row>
    <row r="4" spans="1:10">
      <c r="A4" s="5" t="s">
        <v>4</v>
      </c>
      <c r="B4" s="5" t="s">
        <v>15</v>
      </c>
      <c r="C4" s="5" t="s">
        <v>5</v>
      </c>
      <c r="D4" s="5" t="s">
        <v>18</v>
      </c>
      <c r="E4" s="5" t="s">
        <v>27</v>
      </c>
      <c r="F4" s="5" t="s">
        <v>50</v>
      </c>
      <c r="G4" s="6" t="s">
        <v>70</v>
      </c>
      <c r="H4" s="5">
        <v>66.86447677000001</v>
      </c>
      <c r="I4" s="7">
        <f t="shared" si="0"/>
        <v>0.1950423394917245</v>
      </c>
      <c r="J4" s="16"/>
    </row>
    <row r="5" spans="1:10">
      <c r="A5" s="5" t="s">
        <v>4</v>
      </c>
      <c r="B5" s="5" t="s">
        <v>16</v>
      </c>
      <c r="C5" s="5" t="s">
        <v>6</v>
      </c>
      <c r="D5" s="5" t="s">
        <v>19</v>
      </c>
      <c r="E5" s="5" t="s">
        <v>27</v>
      </c>
      <c r="F5" s="5" t="s">
        <v>51</v>
      </c>
      <c r="G5" s="6" t="s">
        <v>71</v>
      </c>
      <c r="H5" s="5">
        <v>1.9345861799999999</v>
      </c>
      <c r="I5" s="7">
        <f t="shared" si="0"/>
        <v>5.6431491387195429E-3</v>
      </c>
      <c r="J5" s="16"/>
    </row>
    <row r="6" spans="1:10">
      <c r="A6" s="5" t="s">
        <v>4</v>
      </c>
      <c r="B6" s="5" t="s">
        <v>16</v>
      </c>
      <c r="C6" s="5" t="s">
        <v>7</v>
      </c>
      <c r="D6" s="5" t="s">
        <v>62</v>
      </c>
      <c r="E6" s="5" t="s">
        <v>27</v>
      </c>
      <c r="F6" s="5" t="s">
        <v>66</v>
      </c>
      <c r="G6" s="6" t="s">
        <v>72</v>
      </c>
      <c r="H6" s="5">
        <v>6.2553132500000004</v>
      </c>
      <c r="I6" s="7">
        <f t="shared" si="0"/>
        <v>1.8246623460919403E-2</v>
      </c>
      <c r="J6" s="16"/>
    </row>
    <row r="7" spans="1:10">
      <c r="A7" s="5" t="s">
        <v>4</v>
      </c>
      <c r="B7" s="5" t="s">
        <v>16</v>
      </c>
      <c r="C7" s="5" t="s">
        <v>29</v>
      </c>
      <c r="D7" s="5" t="s">
        <v>63</v>
      </c>
      <c r="E7" s="5" t="s">
        <v>27</v>
      </c>
      <c r="F7" s="5" t="s">
        <v>67</v>
      </c>
      <c r="G7" s="6" t="s">
        <v>73</v>
      </c>
      <c r="H7" s="5">
        <v>2.36515838</v>
      </c>
      <c r="I7" s="7">
        <f t="shared" si="0"/>
        <v>6.8991196220745824E-3</v>
      </c>
      <c r="J7" s="16"/>
    </row>
    <row r="8" spans="1:10">
      <c r="A8" s="5" t="s">
        <v>28</v>
      </c>
      <c r="B8" s="5" t="s">
        <v>14</v>
      </c>
      <c r="C8" s="5" t="s">
        <v>32</v>
      </c>
      <c r="D8" s="5" t="s">
        <v>33</v>
      </c>
      <c r="E8" s="5" t="s">
        <v>27</v>
      </c>
      <c r="F8" s="5" t="s">
        <v>34</v>
      </c>
      <c r="G8" s="6" t="s">
        <v>74</v>
      </c>
      <c r="H8" s="5">
        <v>54.096270099999998</v>
      </c>
      <c r="I8" s="7">
        <f t="shared" si="0"/>
        <v>0.15779773637313732</v>
      </c>
      <c r="J8" s="16"/>
    </row>
    <row r="9" spans="1:10">
      <c r="A9" s="5" t="s">
        <v>28</v>
      </c>
      <c r="B9" s="5" t="s">
        <v>14</v>
      </c>
      <c r="C9" s="5" t="s">
        <v>35</v>
      </c>
      <c r="D9" s="5" t="s">
        <v>36</v>
      </c>
      <c r="E9" s="5" t="s">
        <v>27</v>
      </c>
      <c r="F9" s="5" t="s">
        <v>37</v>
      </c>
      <c r="G9" s="6" t="s">
        <v>74</v>
      </c>
      <c r="H9" s="5">
        <v>10.479389509999999</v>
      </c>
      <c r="I9" s="7">
        <f t="shared" si="0"/>
        <v>3.0568169306194003E-2</v>
      </c>
      <c r="J9" s="16"/>
    </row>
    <row r="10" spans="1:10">
      <c r="A10" s="5" t="s">
        <v>28</v>
      </c>
      <c r="B10" s="5" t="s">
        <v>14</v>
      </c>
      <c r="C10" s="5" t="s">
        <v>38</v>
      </c>
      <c r="D10" s="5" t="s">
        <v>39</v>
      </c>
      <c r="E10" s="5" t="s">
        <v>27</v>
      </c>
      <c r="F10" s="5" t="s">
        <v>40</v>
      </c>
      <c r="G10" s="6" t="s">
        <v>74</v>
      </c>
      <c r="H10" s="5">
        <v>4.7467840999999993</v>
      </c>
      <c r="I10" s="7">
        <f t="shared" si="0"/>
        <v>1.3846274145100436E-2</v>
      </c>
      <c r="J10" s="16"/>
    </row>
    <row r="11" spans="1:10">
      <c r="A11" s="5" t="s">
        <v>28</v>
      </c>
      <c r="B11" s="5" t="s">
        <v>13</v>
      </c>
      <c r="C11" s="5" t="s">
        <v>41</v>
      </c>
      <c r="D11" s="5" t="s">
        <v>42</v>
      </c>
      <c r="E11" s="5" t="s">
        <v>27</v>
      </c>
      <c r="F11" s="5" t="s">
        <v>43</v>
      </c>
      <c r="G11" s="6" t="s">
        <v>75</v>
      </c>
      <c r="H11" s="5">
        <v>9.2882873900000007</v>
      </c>
      <c r="I11" s="7">
        <f t="shared" si="0"/>
        <v>2.7093748279054749E-2</v>
      </c>
      <c r="J11" s="16"/>
    </row>
    <row r="12" spans="1:10">
      <c r="A12" s="5" t="s">
        <v>28</v>
      </c>
      <c r="B12" s="5" t="s">
        <v>13</v>
      </c>
      <c r="C12" s="5" t="s">
        <v>44</v>
      </c>
      <c r="D12" s="5" t="s">
        <v>45</v>
      </c>
      <c r="E12" s="5" t="s">
        <v>27</v>
      </c>
      <c r="F12" s="5" t="s">
        <v>46</v>
      </c>
      <c r="G12" s="6" t="s">
        <v>71</v>
      </c>
      <c r="H12" s="5">
        <v>3.4400519199999997</v>
      </c>
      <c r="I12" s="7">
        <f t="shared" si="0"/>
        <v>1.003456254892636E-2</v>
      </c>
      <c r="J12" s="16"/>
    </row>
    <row r="13" spans="1:10">
      <c r="A13" s="5" t="s">
        <v>61</v>
      </c>
      <c r="B13" s="5" t="s">
        <v>8</v>
      </c>
      <c r="C13" s="5" t="s">
        <v>8</v>
      </c>
      <c r="D13" s="5" t="s">
        <v>20</v>
      </c>
      <c r="E13" s="5" t="s">
        <v>27</v>
      </c>
      <c r="F13" s="5" t="s">
        <v>52</v>
      </c>
      <c r="G13" s="6">
        <v>36525</v>
      </c>
      <c r="H13" s="5">
        <v>6</v>
      </c>
      <c r="I13" s="7">
        <f t="shared" si="0"/>
        <v>1.7501879824406302E-2</v>
      </c>
      <c r="J13" s="16"/>
    </row>
    <row r="14" spans="1:10">
      <c r="A14" s="5" t="s">
        <v>61</v>
      </c>
      <c r="B14" s="5" t="s">
        <v>53</v>
      </c>
      <c r="C14" s="5" t="s">
        <v>53</v>
      </c>
      <c r="D14" s="5" t="s">
        <v>64</v>
      </c>
      <c r="E14" s="5" t="s">
        <v>27</v>
      </c>
      <c r="F14" s="5" t="s">
        <v>54</v>
      </c>
      <c r="G14" s="6">
        <v>36525</v>
      </c>
      <c r="H14" s="5">
        <v>6</v>
      </c>
      <c r="I14" s="7">
        <f t="shared" si="0"/>
        <v>1.7501879824406302E-2</v>
      </c>
      <c r="J14" s="16"/>
    </row>
    <row r="15" spans="1:10">
      <c r="A15" s="5" t="s">
        <v>61</v>
      </c>
      <c r="B15" s="5" t="s">
        <v>55</v>
      </c>
      <c r="C15" s="5" t="s">
        <v>55</v>
      </c>
      <c r="D15" s="5" t="s">
        <v>65</v>
      </c>
      <c r="E15" s="5" t="s">
        <v>27</v>
      </c>
      <c r="F15" s="5" t="s">
        <v>56</v>
      </c>
      <c r="G15" s="6" t="s">
        <v>76</v>
      </c>
      <c r="H15" s="5">
        <v>4.5</v>
      </c>
      <c r="I15" s="7">
        <f t="shared" si="0"/>
        <v>1.3126409868304727E-2</v>
      </c>
      <c r="J15" s="16"/>
    </row>
    <row r="16" spans="1:10">
      <c r="A16" s="5" t="s">
        <v>61</v>
      </c>
      <c r="B16" s="5" t="s">
        <v>9</v>
      </c>
      <c r="C16" s="5" t="s">
        <v>9</v>
      </c>
      <c r="D16" s="5" t="s">
        <v>21</v>
      </c>
      <c r="E16" s="5" t="s">
        <v>27</v>
      </c>
      <c r="F16" s="5" t="s">
        <v>57</v>
      </c>
      <c r="G16" s="6" t="s">
        <v>77</v>
      </c>
      <c r="H16" s="5">
        <v>1.85</v>
      </c>
      <c r="I16" s="7">
        <f t="shared" si="0"/>
        <v>5.3964129458586099E-3</v>
      </c>
      <c r="J16" s="16"/>
    </row>
    <row r="17" spans="3:10" ht="16" customHeight="1">
      <c r="C17" s="18"/>
      <c r="D17" s="18"/>
      <c r="E17" s="18"/>
      <c r="F17" s="18"/>
      <c r="G17" s="18"/>
      <c r="H17" s="18"/>
      <c r="I17" s="18"/>
    </row>
    <row r="18" spans="3:10">
      <c r="I18" s="4"/>
      <c r="J18" s="17"/>
    </row>
  </sheetData>
  <mergeCells count="1">
    <mergeCell ref="C17:I17"/>
  </mergeCells>
  <pageMargins left="0.7" right="0.7" top="0.75" bottom="0.75" header="0.3" footer="0.3"/>
  <pageSetup paperSize="9" orientation="portrait" horizontalDpi="0" verticalDpi="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5CC8-7448-B14E-B982-8CC556A0B480}">
  <dimension ref="A1:B16"/>
  <sheetViews>
    <sheetView zoomScale="178" workbookViewId="0">
      <selection activeCell="B4" sqref="B4"/>
    </sheetView>
  </sheetViews>
  <sheetFormatPr baseColWidth="10" defaultRowHeight="16"/>
  <cols>
    <col min="1" max="2" width="39.5" customWidth="1"/>
  </cols>
  <sheetData>
    <row r="1" spans="1:2">
      <c r="A1" s="5" t="s">
        <v>30</v>
      </c>
      <c r="B1" s="5" t="s">
        <v>31</v>
      </c>
    </row>
    <row r="2" spans="1:2">
      <c r="A2" s="5" t="s">
        <v>10</v>
      </c>
      <c r="B2" s="5" t="s">
        <v>78</v>
      </c>
    </row>
    <row r="3" spans="1:2">
      <c r="A3" s="5" t="s">
        <v>47</v>
      </c>
      <c r="B3" s="5" t="s">
        <v>15</v>
      </c>
    </row>
    <row r="4" spans="1:2">
      <c r="A4" s="5" t="s">
        <v>5</v>
      </c>
      <c r="B4" s="5" t="s">
        <v>15</v>
      </c>
    </row>
    <row r="5" spans="1:2">
      <c r="A5" s="5" t="s">
        <v>6</v>
      </c>
      <c r="B5" s="5" t="s">
        <v>16</v>
      </c>
    </row>
    <row r="6" spans="1:2">
      <c r="A6" s="5" t="s">
        <v>7</v>
      </c>
      <c r="B6" s="5" t="s">
        <v>16</v>
      </c>
    </row>
    <row r="7" spans="1:2">
      <c r="A7" s="5" t="s">
        <v>29</v>
      </c>
      <c r="B7" s="5" t="s">
        <v>16</v>
      </c>
    </row>
    <row r="8" spans="1:2">
      <c r="A8" s="5" t="s">
        <v>32</v>
      </c>
      <c r="B8" s="5" t="s">
        <v>14</v>
      </c>
    </row>
    <row r="9" spans="1:2">
      <c r="A9" s="5" t="s">
        <v>35</v>
      </c>
      <c r="B9" s="5" t="s">
        <v>14</v>
      </c>
    </row>
    <row r="10" spans="1:2">
      <c r="A10" s="5" t="s">
        <v>38</v>
      </c>
      <c r="B10" s="5" t="s">
        <v>14</v>
      </c>
    </row>
    <row r="11" spans="1:2">
      <c r="A11" s="5" t="s">
        <v>41</v>
      </c>
      <c r="B11" s="5" t="s">
        <v>13</v>
      </c>
    </row>
    <row r="12" spans="1:2">
      <c r="A12" s="5" t="s">
        <v>44</v>
      </c>
      <c r="B12" s="5" t="s">
        <v>13</v>
      </c>
    </row>
    <row r="13" spans="1:2">
      <c r="A13" s="5" t="s">
        <v>8</v>
      </c>
      <c r="B13" s="5" t="s">
        <v>8</v>
      </c>
    </row>
    <row r="14" spans="1:2">
      <c r="A14" s="5" t="s">
        <v>53</v>
      </c>
      <c r="B14" s="5" t="s">
        <v>53</v>
      </c>
    </row>
    <row r="15" spans="1:2">
      <c r="A15" s="5" t="s">
        <v>55</v>
      </c>
      <c r="B15" s="5" t="s">
        <v>55</v>
      </c>
    </row>
    <row r="16" spans="1:2">
      <c r="A16" s="5" t="s">
        <v>9</v>
      </c>
      <c r="B16" s="5"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DA561-4E08-4B4D-950D-4421CABD23DF}">
  <dimension ref="A1:O4"/>
  <sheetViews>
    <sheetView zoomScale="190" workbookViewId="0">
      <selection activeCell="B19" sqref="B19"/>
    </sheetView>
  </sheetViews>
  <sheetFormatPr baseColWidth="10" defaultRowHeight="16"/>
  <cols>
    <col min="6" max="6" width="10.83203125" customWidth="1"/>
  </cols>
  <sheetData>
    <row r="1" spans="1:15">
      <c r="A1" s="15" t="s">
        <v>10</v>
      </c>
      <c r="B1" s="15" t="s">
        <v>47</v>
      </c>
      <c r="C1" s="15" t="s">
        <v>5</v>
      </c>
      <c r="D1" s="15" t="s">
        <v>6</v>
      </c>
      <c r="E1" s="15" t="s">
        <v>7</v>
      </c>
      <c r="F1" s="15" t="s">
        <v>29</v>
      </c>
      <c r="G1" s="15" t="s">
        <v>32</v>
      </c>
      <c r="H1" s="15" t="s">
        <v>35</v>
      </c>
      <c r="I1" s="15" t="s">
        <v>38</v>
      </c>
      <c r="J1" s="15" t="s">
        <v>41</v>
      </c>
      <c r="K1" s="15" t="s">
        <v>44</v>
      </c>
      <c r="L1" s="15" t="s">
        <v>8</v>
      </c>
      <c r="M1" s="15" t="s">
        <v>53</v>
      </c>
      <c r="N1" s="15" t="s">
        <v>55</v>
      </c>
      <c r="O1" s="15" t="s">
        <v>9</v>
      </c>
    </row>
    <row r="2" spans="1:15">
      <c r="A2" s="15">
        <v>0.37629041622473552</v>
      </c>
      <c r="B2" s="15">
        <v>0.10501127894643782</v>
      </c>
      <c r="C2" s="15">
        <v>0.1950423394917245</v>
      </c>
      <c r="D2" s="15">
        <v>5.6431491387195429E-3</v>
      </c>
      <c r="E2" s="15">
        <v>1.8246623460919403E-2</v>
      </c>
      <c r="F2" s="15">
        <v>6.8991196220745824E-3</v>
      </c>
      <c r="G2" s="15">
        <v>0.15779773637313732</v>
      </c>
      <c r="H2" s="15">
        <v>3.0568169306194003E-2</v>
      </c>
      <c r="I2" s="15">
        <v>1.3846274145100436E-2</v>
      </c>
      <c r="J2" s="15">
        <v>2.7093748279054749E-2</v>
      </c>
      <c r="K2" s="15">
        <v>1.003456254892636E-2</v>
      </c>
      <c r="L2" s="15">
        <v>1.7501879824406302E-2</v>
      </c>
      <c r="M2" s="15">
        <v>1.7501879824406302E-2</v>
      </c>
      <c r="N2" s="15">
        <v>1.3126409868304727E-2</v>
      </c>
      <c r="O2" s="15">
        <v>5.3964129458586099E-3</v>
      </c>
    </row>
    <row r="4" spans="1:15">
      <c r="K4"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4FD5C-CB86-874F-9624-BF8B47C42749}">
  <dimension ref="A1:A2"/>
  <sheetViews>
    <sheetView showGridLines="0" workbookViewId="0">
      <selection activeCell="K43" sqref="K43"/>
    </sheetView>
  </sheetViews>
  <sheetFormatPr baseColWidth="10" defaultRowHeight="16"/>
  <sheetData>
    <row r="1" spans="1:1">
      <c r="A1" s="2" t="s">
        <v>59</v>
      </c>
    </row>
    <row r="2" spans="1:1">
      <c r="A2" s="3">
        <v>0.100717436004119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0F18F-6681-3A4B-A7CE-8CFBA32DB0DC}">
  <dimension ref="A1:P3"/>
  <sheetViews>
    <sheetView zoomScale="138" zoomScaleNormal="81" workbookViewId="0">
      <selection activeCell="L8" sqref="L8"/>
    </sheetView>
  </sheetViews>
  <sheetFormatPr baseColWidth="10" defaultRowHeight="16"/>
  <cols>
    <col min="2" max="7" width="14.33203125" bestFit="1" customWidth="1"/>
    <col min="8" max="8" width="13.1640625" bestFit="1" customWidth="1"/>
    <col min="9" max="16" width="14.33203125" bestFit="1" customWidth="1"/>
  </cols>
  <sheetData>
    <row r="1" spans="1:16">
      <c r="A1" s="10"/>
      <c r="B1" s="9" t="s">
        <v>10</v>
      </c>
      <c r="C1" s="9" t="s">
        <v>47</v>
      </c>
      <c r="D1" s="9" t="s">
        <v>5</v>
      </c>
      <c r="E1" s="9" t="s">
        <v>6</v>
      </c>
      <c r="F1" s="9" t="s">
        <v>7</v>
      </c>
      <c r="G1" s="9" t="s">
        <v>29</v>
      </c>
      <c r="H1" s="9" t="s">
        <v>32</v>
      </c>
      <c r="I1" s="9" t="s">
        <v>35</v>
      </c>
      <c r="J1" s="9" t="s">
        <v>38</v>
      </c>
      <c r="K1" s="9" t="s">
        <v>41</v>
      </c>
      <c r="L1" s="9" t="s">
        <v>44</v>
      </c>
      <c r="M1" s="9" t="s">
        <v>8</v>
      </c>
      <c r="N1" s="9" t="s">
        <v>53</v>
      </c>
      <c r="O1" s="9" t="s">
        <v>55</v>
      </c>
      <c r="P1" s="9" t="s">
        <v>9</v>
      </c>
    </row>
    <row r="2" spans="1:16">
      <c r="A2" s="9" t="s">
        <v>23</v>
      </c>
      <c r="B2" s="11">
        <v>3.1E-2</v>
      </c>
      <c r="C2" s="11">
        <v>0.04</v>
      </c>
      <c r="D2" s="11">
        <v>5.2000000000000005E-2</v>
      </c>
      <c r="E2" s="11">
        <v>6.0999999999999999E-2</v>
      </c>
      <c r="F2" s="11">
        <v>6.5000000000000002E-2</v>
      </c>
      <c r="G2" s="11">
        <v>6.0999999999999999E-2</v>
      </c>
      <c r="H2" s="11">
        <v>8.6999999999999994E-2</v>
      </c>
      <c r="I2" s="11">
        <v>7.5999999999999998E-2</v>
      </c>
      <c r="J2" s="11">
        <v>8.5999999999999993E-2</v>
      </c>
      <c r="K2" s="11">
        <v>7.4999999999999997E-2</v>
      </c>
      <c r="L2" s="11">
        <v>7.6999999999999999E-2</v>
      </c>
      <c r="M2" s="11">
        <v>4.5999999999999999E-2</v>
      </c>
      <c r="N2" s="11">
        <v>5.7999999999999996E-2</v>
      </c>
      <c r="O2" s="11">
        <v>5.2000000000000005E-2</v>
      </c>
      <c r="P2" s="11">
        <v>0.4</v>
      </c>
    </row>
    <row r="3" spans="1:16">
      <c r="A3" s="9" t="s">
        <v>24</v>
      </c>
      <c r="B3" s="11">
        <v>6.6929904217948623E-3</v>
      </c>
      <c r="C3" s="11">
        <v>3.4811918748185247E-2</v>
      </c>
      <c r="D3" s="11">
        <v>7.3882165665928992E-2</v>
      </c>
      <c r="E3" s="11">
        <v>8.7380545721559788E-2</v>
      </c>
      <c r="F3" s="11">
        <v>0.12121282142345903</v>
      </c>
      <c r="G3" s="11">
        <v>7.6358836717143427E-2</v>
      </c>
      <c r="H3" s="11">
        <v>0.16470142484350958</v>
      </c>
      <c r="I3" s="11">
        <v>0.22036549453411891</v>
      </c>
      <c r="J3" s="11">
        <v>0.15771762019704019</v>
      </c>
      <c r="K3" s="11">
        <v>0.28695976330171974</v>
      </c>
      <c r="L3" s="11">
        <v>0.20933182803592407</v>
      </c>
      <c r="M3" s="11">
        <v>0.18318431082367451</v>
      </c>
      <c r="N3" s="11">
        <v>0.16679079488864745</v>
      </c>
      <c r="O3" s="11">
        <v>5.7493720771741828E-2</v>
      </c>
      <c r="P3" s="11">
        <v>0.35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425A1-FAD0-3646-8E2D-B99995778984}">
  <dimension ref="A1:P16"/>
  <sheetViews>
    <sheetView zoomScale="161" workbookViewId="0">
      <selection activeCell="A29" sqref="A29"/>
    </sheetView>
  </sheetViews>
  <sheetFormatPr baseColWidth="10" defaultRowHeight="16"/>
  <cols>
    <col min="1" max="1" width="79.33203125" customWidth="1"/>
    <col min="3" max="3" width="13.33203125" customWidth="1"/>
  </cols>
  <sheetData>
    <row r="1" spans="1:16">
      <c r="B1" s="5" t="s">
        <v>10</v>
      </c>
      <c r="C1" s="5" t="s">
        <v>47</v>
      </c>
      <c r="D1" s="5" t="s">
        <v>5</v>
      </c>
      <c r="E1" s="5" t="s">
        <v>6</v>
      </c>
      <c r="F1" s="5" t="s">
        <v>7</v>
      </c>
      <c r="G1" s="5" t="s">
        <v>29</v>
      </c>
      <c r="H1" s="5" t="s">
        <v>32</v>
      </c>
      <c r="I1" s="5" t="s">
        <v>35</v>
      </c>
      <c r="J1" s="5" t="s">
        <v>38</v>
      </c>
      <c r="K1" s="5" t="s">
        <v>41</v>
      </c>
      <c r="L1" s="5" t="s">
        <v>44</v>
      </c>
      <c r="M1" s="5" t="s">
        <v>8</v>
      </c>
      <c r="N1" s="5" t="s">
        <v>53</v>
      </c>
      <c r="O1" s="5" t="s">
        <v>55</v>
      </c>
      <c r="P1" s="5" t="s">
        <v>9</v>
      </c>
    </row>
    <row r="2" spans="1:16">
      <c r="A2" s="5" t="s">
        <v>10</v>
      </c>
      <c r="B2" s="12">
        <v>1</v>
      </c>
      <c r="C2" s="12">
        <v>0.19602301923101945</v>
      </c>
      <c r="D2" s="12">
        <v>1.9356143577404689E-2</v>
      </c>
      <c r="E2" s="12">
        <v>-3.4863322339467179E-2</v>
      </c>
      <c r="F2" s="12">
        <v>0.11030581120289852</v>
      </c>
      <c r="G2" s="12">
        <v>-1.4016217672616953E-2</v>
      </c>
      <c r="H2" s="12">
        <v>9.9451654874686043E-3</v>
      </c>
      <c r="I2" s="12">
        <v>7.786564290742054E-2</v>
      </c>
      <c r="J2" s="12">
        <v>2.8028087956609608E-2</v>
      </c>
      <c r="K2" s="12">
        <v>6.3617700941271699E-2</v>
      </c>
      <c r="L2" s="12">
        <v>3.184710511952802E-2</v>
      </c>
      <c r="M2" s="12">
        <v>-3.3670350156073059E-2</v>
      </c>
      <c r="N2" s="12">
        <v>0.12728504661584941</v>
      </c>
      <c r="O2" s="12">
        <v>5.6303884133766932E-3</v>
      </c>
      <c r="P2" s="12">
        <v>5.1792605131888124E-3</v>
      </c>
    </row>
    <row r="3" spans="1:16">
      <c r="A3" s="5" t="s">
        <v>47</v>
      </c>
      <c r="B3" s="12">
        <v>0.19602301923101945</v>
      </c>
      <c r="C3" s="12">
        <v>1</v>
      </c>
      <c r="D3" s="12">
        <v>0.5477068433850012</v>
      </c>
      <c r="E3" s="12">
        <v>2.5885982971712924E-2</v>
      </c>
      <c r="F3" s="12">
        <v>0.25883264426186642</v>
      </c>
      <c r="G3" s="12">
        <v>0.22345052468244664</v>
      </c>
      <c r="H3" s="12">
        <v>-1.3374486917960048E-2</v>
      </c>
      <c r="I3" s="12">
        <v>3.4244540694288658E-2</v>
      </c>
      <c r="J3" s="12">
        <v>6.0187615126945579E-2</v>
      </c>
      <c r="K3" s="12">
        <v>-1.0864277302399097E-2</v>
      </c>
      <c r="L3" s="12">
        <v>-6.7106242495628353E-4</v>
      </c>
      <c r="M3" s="12">
        <v>-0.15629366607325973</v>
      </c>
      <c r="N3" s="12">
        <v>0.35907954559883248</v>
      </c>
      <c r="O3" s="12">
        <v>1.5500758076833741E-2</v>
      </c>
      <c r="P3" s="12">
        <v>-1.046696836132968E-2</v>
      </c>
    </row>
    <row r="4" spans="1:16">
      <c r="A4" s="5" t="s">
        <v>5</v>
      </c>
      <c r="B4" s="12">
        <v>1.9356143577404689E-2</v>
      </c>
      <c r="C4" s="13">
        <v>0.5477068433850012</v>
      </c>
      <c r="D4" s="13">
        <v>1</v>
      </c>
      <c r="E4" s="12">
        <v>0.66906106157846645</v>
      </c>
      <c r="F4" s="12">
        <v>0.62963784232775555</v>
      </c>
      <c r="G4" s="12">
        <v>0.80269171051458887</v>
      </c>
      <c r="H4" s="12">
        <v>0.61</v>
      </c>
      <c r="I4" s="12">
        <v>0.5211155031775645</v>
      </c>
      <c r="J4" s="12">
        <v>0.54612608884679881</v>
      </c>
      <c r="K4" s="12">
        <v>0.31256902161853506</v>
      </c>
      <c r="L4" s="12">
        <v>0.54275762133936756</v>
      </c>
      <c r="M4" s="12">
        <v>0.1853843713606825</v>
      </c>
      <c r="N4" s="12">
        <v>0.35892442440474281</v>
      </c>
      <c r="O4" s="12">
        <v>4.4450346694076347E-2</v>
      </c>
      <c r="P4" s="12">
        <v>9.8732005910581372E-2</v>
      </c>
    </row>
    <row r="5" spans="1:16">
      <c r="A5" s="5" t="s">
        <v>6</v>
      </c>
      <c r="B5" s="12">
        <v>-3.4863322339467179E-2</v>
      </c>
      <c r="C5" s="12">
        <v>2.5885982971712924E-2</v>
      </c>
      <c r="D5" s="13">
        <v>0.66906106157846645</v>
      </c>
      <c r="E5" s="13">
        <v>1.0000000000000002</v>
      </c>
      <c r="F5" s="12">
        <v>0.62174795120392967</v>
      </c>
      <c r="G5" s="12">
        <v>0.72208743330121861</v>
      </c>
      <c r="H5" s="12">
        <v>0.74866838731843399</v>
      </c>
      <c r="I5" s="12">
        <v>0.72540528618630107</v>
      </c>
      <c r="J5" s="12">
        <v>0.68150526347700391</v>
      </c>
      <c r="K5" s="12">
        <v>0.34231094086669039</v>
      </c>
      <c r="L5" s="12">
        <v>0.7155522172361467</v>
      </c>
      <c r="M5" s="12">
        <v>0.42715616876410184</v>
      </c>
      <c r="N5" s="12">
        <v>0.13514356418753504</v>
      </c>
      <c r="O5" s="12">
        <v>8.5216331716323535E-2</v>
      </c>
      <c r="P5" s="12">
        <v>0.209631433580836</v>
      </c>
    </row>
    <row r="6" spans="1:16">
      <c r="A6" s="5" t="s">
        <v>7</v>
      </c>
      <c r="B6" s="13">
        <v>0.11030581120289852</v>
      </c>
      <c r="C6" s="13">
        <v>0.25883264426186642</v>
      </c>
      <c r="D6" s="13">
        <v>0.62963784232775555</v>
      </c>
      <c r="E6" s="13">
        <v>0.62174795120392967</v>
      </c>
      <c r="F6" s="13">
        <v>0.99999999999999989</v>
      </c>
      <c r="G6" s="12">
        <v>0.72317163896223446</v>
      </c>
      <c r="H6" s="12">
        <v>0.59375494420086694</v>
      </c>
      <c r="I6" s="12">
        <v>0.73399546513866254</v>
      </c>
      <c r="J6" s="12">
        <v>0.63473413867638317</v>
      </c>
      <c r="K6" s="12">
        <v>0.36602132859169123</v>
      </c>
      <c r="L6" s="12">
        <v>0.79991620805756869</v>
      </c>
      <c r="M6" s="12">
        <v>0.42523078305224787</v>
      </c>
      <c r="N6" s="12">
        <v>0.38815291105822552</v>
      </c>
      <c r="O6" s="12">
        <v>3.6507528512002951E-2</v>
      </c>
      <c r="P6" s="12">
        <v>0.12921461831826669</v>
      </c>
    </row>
    <row r="7" spans="1:16">
      <c r="A7" s="5" t="s">
        <v>29</v>
      </c>
      <c r="B7" s="13">
        <v>-1.4016217672616953E-2</v>
      </c>
      <c r="C7" s="13">
        <v>0.22345052468244664</v>
      </c>
      <c r="D7" s="13">
        <v>0.80269171051458887</v>
      </c>
      <c r="E7" s="13">
        <v>0.72208743330121861</v>
      </c>
      <c r="F7" s="13">
        <v>0.72317163896223446</v>
      </c>
      <c r="G7" s="13">
        <v>0.99999999999999989</v>
      </c>
      <c r="H7" s="12">
        <v>0.56234392091087049</v>
      </c>
      <c r="I7" s="12">
        <v>0.61569584960334101</v>
      </c>
      <c r="J7" s="12">
        <v>0.58080351919138451</v>
      </c>
      <c r="K7" s="12">
        <v>0.41184315629953866</v>
      </c>
      <c r="L7" s="12">
        <v>0.69790485944576408</v>
      </c>
      <c r="M7" s="12">
        <v>0.32283143723350238</v>
      </c>
      <c r="N7" s="12">
        <v>0.30317626384574903</v>
      </c>
      <c r="O7" s="12">
        <v>7.7501408066640284E-2</v>
      </c>
      <c r="P7" s="12">
        <v>0.14500273996496391</v>
      </c>
    </row>
    <row r="8" spans="1:16">
      <c r="A8" s="5" t="s">
        <v>32</v>
      </c>
      <c r="B8" s="13">
        <v>9.9451654874686043E-3</v>
      </c>
      <c r="C8" s="13">
        <v>-1.3374486917960048E-2</v>
      </c>
      <c r="D8" s="13">
        <v>0.61</v>
      </c>
      <c r="E8" s="13">
        <v>0.74866838731843399</v>
      </c>
      <c r="F8" s="13">
        <v>0.59375494420086694</v>
      </c>
      <c r="G8" s="13">
        <v>0.56234392091087049</v>
      </c>
      <c r="H8" s="13">
        <v>1</v>
      </c>
      <c r="I8" s="12">
        <v>0.74</v>
      </c>
      <c r="J8" s="12">
        <v>0.64</v>
      </c>
      <c r="K8" s="12">
        <v>0.34177277376600829</v>
      </c>
      <c r="L8" s="12">
        <v>0.63</v>
      </c>
      <c r="M8" s="12">
        <v>0.42163066190725329</v>
      </c>
      <c r="N8" s="12">
        <v>3.0401084173230671E-2</v>
      </c>
      <c r="O8" s="12">
        <v>0.1036370416564054</v>
      </c>
      <c r="P8" s="12">
        <v>0.37921265774502261</v>
      </c>
    </row>
    <row r="9" spans="1:16">
      <c r="A9" s="5" t="s">
        <v>35</v>
      </c>
      <c r="B9" s="13">
        <v>7.786564290742054E-2</v>
      </c>
      <c r="C9" s="13">
        <v>3.4244540694288658E-2</v>
      </c>
      <c r="D9" s="13">
        <v>0.5211155031775645</v>
      </c>
      <c r="E9" s="13">
        <v>0.72540528618630107</v>
      </c>
      <c r="F9" s="13">
        <v>0.73399546513866254</v>
      </c>
      <c r="G9" s="13">
        <v>0.61569584960334101</v>
      </c>
      <c r="H9" s="13">
        <v>0.74</v>
      </c>
      <c r="I9" s="13">
        <v>1</v>
      </c>
      <c r="J9" s="12">
        <v>0.68</v>
      </c>
      <c r="K9" s="12">
        <v>0.3752995768238917</v>
      </c>
      <c r="L9" s="12">
        <v>0.72</v>
      </c>
      <c r="M9" s="12">
        <v>0.44629127974642324</v>
      </c>
      <c r="N9" s="12">
        <v>0.11880966461960134</v>
      </c>
      <c r="O9" s="12">
        <v>6.3291863532706674E-2</v>
      </c>
      <c r="P9" s="12">
        <v>0.26130210267546028</v>
      </c>
    </row>
    <row r="10" spans="1:16">
      <c r="A10" s="5" t="s">
        <v>38</v>
      </c>
      <c r="B10" s="13">
        <v>2.8028087956609608E-2</v>
      </c>
      <c r="C10" s="13">
        <v>6.0187615126945579E-2</v>
      </c>
      <c r="D10" s="13">
        <v>0.54612608884679881</v>
      </c>
      <c r="E10" s="13">
        <v>0.68150526347700391</v>
      </c>
      <c r="F10" s="13">
        <v>0.63473413867638317</v>
      </c>
      <c r="G10" s="13">
        <v>0.58080351919138451</v>
      </c>
      <c r="H10" s="13">
        <v>0.64</v>
      </c>
      <c r="I10" s="13">
        <v>0.68</v>
      </c>
      <c r="J10" s="13">
        <v>1</v>
      </c>
      <c r="K10" s="12">
        <v>0.34239722849372467</v>
      </c>
      <c r="L10" s="12">
        <v>0.61</v>
      </c>
      <c r="M10" s="12">
        <v>0.36124141710776125</v>
      </c>
      <c r="N10" s="12">
        <v>7.2302574655407945E-2</v>
      </c>
      <c r="O10" s="12">
        <v>0.1032272140084048</v>
      </c>
      <c r="P10" s="12">
        <v>0.1154404335678105</v>
      </c>
    </row>
    <row r="11" spans="1:16">
      <c r="A11" s="5" t="s">
        <v>41</v>
      </c>
      <c r="B11" s="13">
        <v>6.3617700941271699E-2</v>
      </c>
      <c r="C11" s="13">
        <v>-1.0864277302399097E-2</v>
      </c>
      <c r="D11" s="13">
        <v>0.31256902161853506</v>
      </c>
      <c r="E11" s="13">
        <v>0.34231094086669039</v>
      </c>
      <c r="F11" s="13">
        <v>0.36602132859169123</v>
      </c>
      <c r="G11" s="13">
        <v>0.41184315629953866</v>
      </c>
      <c r="H11" s="13">
        <v>0.34177277376600829</v>
      </c>
      <c r="I11" s="13">
        <v>0.3752995768238917</v>
      </c>
      <c r="J11" s="13">
        <v>0.34239722849372467</v>
      </c>
      <c r="K11" s="13">
        <v>1</v>
      </c>
      <c r="L11" s="12">
        <v>0.57068682658436176</v>
      </c>
      <c r="M11" s="12">
        <v>0.17920838668502914</v>
      </c>
      <c r="N11" s="12">
        <v>0.20614237160728854</v>
      </c>
      <c r="O11" s="12">
        <v>3.7747874608360057E-2</v>
      </c>
      <c r="P11" s="12">
        <v>0.13511121914901059</v>
      </c>
    </row>
    <row r="12" spans="1:16">
      <c r="A12" s="5" t="s">
        <v>44</v>
      </c>
      <c r="B12" s="13">
        <v>3.184710511952802E-2</v>
      </c>
      <c r="C12" s="13">
        <v>-6.7106242495628353E-4</v>
      </c>
      <c r="D12" s="13">
        <v>0.54275762133936756</v>
      </c>
      <c r="E12" s="13">
        <v>0.7155522172361467</v>
      </c>
      <c r="F12" s="13">
        <v>0.79991620805756869</v>
      </c>
      <c r="G12" s="13">
        <v>0.69790485944576408</v>
      </c>
      <c r="H12" s="13">
        <v>0.63</v>
      </c>
      <c r="I12" s="13">
        <v>0.72</v>
      </c>
      <c r="J12" s="13">
        <v>0.61</v>
      </c>
      <c r="K12" s="13">
        <v>0.57068682658436176</v>
      </c>
      <c r="L12" s="13">
        <v>1</v>
      </c>
      <c r="M12" s="12">
        <v>0.54434644807040722</v>
      </c>
      <c r="N12" s="12">
        <v>0.24927127681931463</v>
      </c>
      <c r="O12" s="12">
        <v>2.8228840359199751E-2</v>
      </c>
      <c r="P12" s="12">
        <v>0.1080323022337135</v>
      </c>
    </row>
    <row r="13" spans="1:16">
      <c r="A13" s="5" t="s">
        <v>8</v>
      </c>
      <c r="B13" s="13">
        <v>-3.3670350156073059E-2</v>
      </c>
      <c r="C13" s="13">
        <v>-0.15629366607325973</v>
      </c>
      <c r="D13" s="13">
        <v>0.1853843713606825</v>
      </c>
      <c r="E13" s="13">
        <v>0.42715616876410184</v>
      </c>
      <c r="F13" s="13">
        <v>0.42523078305224787</v>
      </c>
      <c r="G13" s="13">
        <v>0.32283143723350238</v>
      </c>
      <c r="H13" s="13">
        <v>0.42163066190725329</v>
      </c>
      <c r="I13" s="13">
        <v>0.44629127974642324</v>
      </c>
      <c r="J13" s="13">
        <v>0.36124141710776125</v>
      </c>
      <c r="K13" s="13">
        <v>0.17920838668502914</v>
      </c>
      <c r="L13" s="13">
        <v>0.54434644807040722</v>
      </c>
      <c r="M13" s="13">
        <v>0.99999999999999978</v>
      </c>
      <c r="N13" s="12">
        <v>0.34182758508802641</v>
      </c>
      <c r="O13" s="12">
        <v>4.1898373306083057E-2</v>
      </c>
      <c r="P13" s="12">
        <v>0.17983956791709549</v>
      </c>
    </row>
    <row r="14" spans="1:16">
      <c r="A14" s="5" t="s">
        <v>53</v>
      </c>
      <c r="B14" s="13">
        <v>0.12728504661584941</v>
      </c>
      <c r="C14" s="13">
        <v>0.35907954559883248</v>
      </c>
      <c r="D14" s="13">
        <v>0.35892442440474281</v>
      </c>
      <c r="E14" s="13">
        <v>0.13514356418753504</v>
      </c>
      <c r="F14" s="13">
        <v>0.38815291105822552</v>
      </c>
      <c r="G14" s="13">
        <v>0.30317626384574903</v>
      </c>
      <c r="H14" s="13">
        <v>3.0401084173230671E-2</v>
      </c>
      <c r="I14" s="13">
        <v>0.11880966461960134</v>
      </c>
      <c r="J14" s="13">
        <v>7.2302574655407945E-2</v>
      </c>
      <c r="K14" s="13">
        <v>0.20614237160728854</v>
      </c>
      <c r="L14" s="13">
        <v>0.24927127681931463</v>
      </c>
      <c r="M14" s="13">
        <v>0.34182758508802641</v>
      </c>
      <c r="N14" s="13">
        <v>0.99999999999999989</v>
      </c>
      <c r="O14" s="12">
        <v>3.7677408181888708E-2</v>
      </c>
      <c r="P14" s="12">
        <v>0.12697261972137441</v>
      </c>
    </row>
    <row r="15" spans="1:16">
      <c r="A15" s="5" t="s">
        <v>55</v>
      </c>
      <c r="B15" s="13">
        <v>5.6303884133766932E-3</v>
      </c>
      <c r="C15" s="13">
        <v>1.5500758076833741E-2</v>
      </c>
      <c r="D15" s="13">
        <v>4.4450346694076347E-2</v>
      </c>
      <c r="E15" s="13">
        <v>8.5216331716323535E-2</v>
      </c>
      <c r="F15" s="13">
        <v>3.6507528512002951E-2</v>
      </c>
      <c r="G15" s="13">
        <v>7.7501408066640284E-2</v>
      </c>
      <c r="H15" s="13">
        <v>0.1036370416564054</v>
      </c>
      <c r="I15" s="13">
        <v>6.3291863532706674E-2</v>
      </c>
      <c r="J15" s="13">
        <v>0.1032272140084048</v>
      </c>
      <c r="K15" s="13">
        <v>3.7747874608360057E-2</v>
      </c>
      <c r="L15" s="13">
        <v>2.8228840359199751E-2</v>
      </c>
      <c r="M15" s="13">
        <v>4.1898373306083057E-2</v>
      </c>
      <c r="N15" s="13">
        <v>3.7677408181888708E-2</v>
      </c>
      <c r="O15" s="13">
        <v>1</v>
      </c>
      <c r="P15" s="12">
        <v>5.8342689071272193E-2</v>
      </c>
    </row>
    <row r="16" spans="1:16">
      <c r="A16" s="5" t="s">
        <v>9</v>
      </c>
      <c r="B16" s="14">
        <v>5.1792605131888124E-3</v>
      </c>
      <c r="C16" s="14">
        <v>-1.046696836132968E-2</v>
      </c>
      <c r="D16" s="14">
        <v>9.8732005910581372E-2</v>
      </c>
      <c r="E16" s="14">
        <v>0.209631433580836</v>
      </c>
      <c r="F16" s="14">
        <v>0.12921461831826669</v>
      </c>
      <c r="G16" s="14">
        <v>0.14500273996496391</v>
      </c>
      <c r="H16" s="14">
        <v>0.37921265774502261</v>
      </c>
      <c r="I16" s="14">
        <v>0.26130210267546028</v>
      </c>
      <c r="J16" s="14">
        <v>0.1154404335678105</v>
      </c>
      <c r="K16" s="14">
        <v>0.13511121914901059</v>
      </c>
      <c r="L16" s="14">
        <v>0.1080323022337135</v>
      </c>
      <c r="M16" s="14">
        <v>0.17983956791709549</v>
      </c>
      <c r="N16" s="14">
        <v>0.12697261972137441</v>
      </c>
      <c r="O16" s="14">
        <v>5.8342689071272193E-2</v>
      </c>
      <c r="P16" s="13">
        <v>1</v>
      </c>
    </row>
  </sheetData>
  <conditionalFormatting sqref="B5:E5 B6:F6 B8:H8 B9:I15 J11:K11 J12:L12 J13:M13 J14:N14 J15:O15 B4:D4 B7:G7">
    <cfRule type="cellIs" dxfId="3" priority="33" operator="equal">
      <formula>1</formula>
    </cfRule>
  </conditionalFormatting>
  <conditionalFormatting sqref="B2:C3 D2:P2 D3 E3:E4 F3:F5 G3:G6 H3:H7 I3:I8 J3:J9 K3:K10 L3:L11 M3:M12 N3:N13 O3:O14 P3:P15">
    <cfRule type="cellIs" dxfId="2" priority="32" operator="equal">
      <formula>1</formula>
    </cfRule>
  </conditionalFormatting>
  <conditionalFormatting sqref="J10">
    <cfRule type="cellIs" dxfId="1" priority="31" operator="equal">
      <formula>1</formula>
    </cfRule>
  </conditionalFormatting>
  <conditionalFormatting sqref="P16">
    <cfRule type="cellIs" dxfId="0" priority="30" operator="equal">
      <formula>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Asset Class Selection</vt:lpstr>
      <vt:lpstr>Asset Cluster Mapping</vt:lpstr>
      <vt:lpstr>Eq Weight</vt:lpstr>
      <vt:lpstr>Naive Benchmark</vt:lpstr>
      <vt:lpstr>Expected R&amp;R</vt:lpstr>
      <vt:lpstr>Expected Corr Matrix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ERPAN JAN YASEN</cp:lastModifiedBy>
  <dcterms:created xsi:type="dcterms:W3CDTF">2025-02-12T11:42:56Z</dcterms:created>
  <dcterms:modified xsi:type="dcterms:W3CDTF">2026-01-26T10:14:40Z</dcterms:modified>
</cp:coreProperties>
</file>